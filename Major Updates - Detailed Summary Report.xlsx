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mc:AlternateContent xmlns:mc="http://schemas.openxmlformats.org/markup-compatibility/2006">
    <mc:Choice Requires="x15">
      <x15ac:absPath xmlns:x15ac="http://schemas.microsoft.com/office/spreadsheetml/2010/11/ac" url="https://coralracing-my.sharepoint.com/personal/ssravya_entainindia_com/Documents/Desktop/Kiro work space/"/>
    </mc:Choice>
  </mc:AlternateContent>
  <xr:revisionPtr revIDLastSave="3049" documentId="8_{1853D45D-827B-45DD-9888-BC8802226AB1}" xr6:coauthVersionLast="47" xr6:coauthVersionMax="47" xr10:uidLastSave="{2100857F-D3A2-43EB-9257-5DE4D7FB6D3A}"/>
  <bookViews>
    <workbookView xWindow="-16440" yWindow="-16440" windowWidth="29040" windowHeight="15720" firstSheet="1" xr2:uid="{22F5C0F2-EDAB-48CD-BEAA-DC14D0274539}"/>
  </bookViews>
  <sheets>
    <sheet name="Optimisation Count" sheetId="2" r:id="rId1"/>
    <sheet name="Optimisation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2" l="1"/>
  <c r="P7" i="2"/>
  <c r="H12" i="2"/>
  <c r="L8" i="2"/>
  <c r="N16" i="2"/>
  <c r="D3" i="2"/>
  <c r="D4" i="2"/>
  <c r="D5" i="2"/>
  <c r="D6" i="2"/>
  <c r="D11" i="2"/>
  <c r="D12" i="2"/>
  <c r="D16" i="2"/>
  <c r="D18" i="2"/>
  <c r="D19" i="2"/>
</calcChain>
</file>

<file path=xl/sharedStrings.xml><?xml version="1.0" encoding="utf-8"?>
<sst xmlns="http://schemas.openxmlformats.org/spreadsheetml/2006/main" count="133" uniqueCount="108">
  <si>
    <t>Market</t>
  </si>
  <si>
    <t>Games released</t>
  </si>
  <si>
    <t>Games switched</t>
  </si>
  <si>
    <t>Total Games released</t>
  </si>
  <si>
    <t>UK</t>
  </si>
  <si>
    <t>Count</t>
  </si>
  <si>
    <t>Southern Europe</t>
  </si>
  <si>
    <t>Americas</t>
  </si>
  <si>
    <t>Northern Central Europe</t>
  </si>
  <si>
    <t>Others</t>
  </si>
  <si>
    <t>Ladbrokes</t>
  </si>
  <si>
    <t>Sportingbet br</t>
  </si>
  <si>
    <t>Sports interaction.com</t>
  </si>
  <si>
    <t>Bwin.com</t>
  </si>
  <si>
    <t>Bwincasino be</t>
  </si>
  <si>
    <t>ROW</t>
  </si>
  <si>
    <t>Coral</t>
  </si>
  <si>
    <t>Betboo br</t>
  </si>
  <si>
    <t>PartyCasino ca</t>
  </si>
  <si>
    <t>Premium</t>
  </si>
  <si>
    <t>Bwin dice be</t>
  </si>
  <si>
    <t>NA</t>
  </si>
  <si>
    <t>Austria</t>
  </si>
  <si>
    <t>Bwin uk</t>
  </si>
  <si>
    <t>Bwin Portugal</t>
  </si>
  <si>
    <t>Partypoker ca</t>
  </si>
  <si>
    <t>Party Casino com</t>
  </si>
  <si>
    <t>Bwin it</t>
  </si>
  <si>
    <t>Denmark</t>
  </si>
  <si>
    <t>Sportingbet uk</t>
  </si>
  <si>
    <t>Bwin Columbia</t>
  </si>
  <si>
    <t>Bwin ca</t>
  </si>
  <si>
    <t>Party Poker com</t>
  </si>
  <si>
    <t>Giocodigitale it</t>
  </si>
  <si>
    <t>Bulgaria</t>
  </si>
  <si>
    <t>Gamebookers uk</t>
  </si>
  <si>
    <t>Bwin es</t>
  </si>
  <si>
    <t>Sports interaction Ontario</t>
  </si>
  <si>
    <t>Sporting bet com</t>
  </si>
  <si>
    <t>Sporting bet za</t>
  </si>
  <si>
    <t>Spain</t>
  </si>
  <si>
    <t>Party Casino uk</t>
  </si>
  <si>
    <t>Party es</t>
  </si>
  <si>
    <t>Party Ontario</t>
  </si>
  <si>
    <t>Gamebookers com</t>
  </si>
  <si>
    <t>Portugal</t>
  </si>
  <si>
    <t>Party Poker uk</t>
  </si>
  <si>
    <t>Bwin gr</t>
  </si>
  <si>
    <t>Party slots de</t>
  </si>
  <si>
    <t>Colombia</t>
  </si>
  <si>
    <t>Foxy Bingo</t>
  </si>
  <si>
    <t>Sportingbet gr</t>
  </si>
  <si>
    <t>partypoker de</t>
  </si>
  <si>
    <t>Brazil</t>
  </si>
  <si>
    <t>Gala Bingo</t>
  </si>
  <si>
    <t>Vistabet gr</t>
  </si>
  <si>
    <t>bpremium de</t>
  </si>
  <si>
    <t>Canada</t>
  </si>
  <si>
    <t>Gala Casino</t>
  </si>
  <si>
    <t>bwin de</t>
  </si>
  <si>
    <t>Ontario</t>
  </si>
  <si>
    <t>Bwin dk</t>
  </si>
  <si>
    <t>Belgium</t>
  </si>
  <si>
    <t>Party dk</t>
  </si>
  <si>
    <t>Italy</t>
  </si>
  <si>
    <t>Bwin.com(AT)</t>
  </si>
  <si>
    <t>Greece</t>
  </si>
  <si>
    <t>Premium(AT)</t>
  </si>
  <si>
    <t>Germany</t>
  </si>
  <si>
    <t>South Africa</t>
  </si>
  <si>
    <t>Black Rush</t>
  </si>
  <si>
    <t>Foxy NZ</t>
  </si>
  <si>
    <t>Brand</t>
  </si>
  <si>
    <t>New features enabled - Description</t>
  </si>
  <si>
    <t>New Containers added - Description</t>
  </si>
  <si>
    <t>Other updates</t>
  </si>
  <si>
    <t xml:space="preserve">•'Summer Picks' container added on Casino Home page for Coral.uk
•'Summer Waves' container added on Casino Home page for Ladbrokes.com
•'Player Favourites' container added on Live Casino - Top Live Casino page for Gala Bingo
•'Must - Play Live' container added on Live Casino - Top Live Casino page for Gala Bingo
•'Always on Top' container added on Live Casino - Top Live Casino page for Gala Bingo
•'Best of the Tables' container added on Live Casino - Top Live Casino page for Gala Bingo
•'Big Bass - Prize Drops' container added on Casino - Home page for Gala and Foxy
</t>
  </si>
  <si>
    <t>•Ladbrokes( Home, Slots, Bingo, Trending Now &amp; Popular,Drops and Wins and New page ), Coral ( Home, Slots, Bingo, Drops and Wins, Jackpots, Trending Now &amp; Popular and New page), Sportingbet.uk ( Home, Slots and Drops and Wins page ), Bwin.uk ( Home, Slots and Drops and Wins page), Gamebookers.uk ( Home, Slots and Drops and Wins Page), Gala (Home, Slots, Top Live Casino, New, Big Bass Prize Drops and Drops and wins), Foxy (Home and New) and Gala Casino( Home, Slots, Drops and Wins and New) optimization was updated
•Game thumbnail has been updated with 'Bison Moon: Thunder Charge and Mo Mo Mo Mummy: Midnight Treasures' on Gala, Gala Casino, Partycasino.uk and Partypoker.uk.
• Home, Slots, Trending Now &amp; Popular and New page optimization was updated for Partycasino.uk and Partypoker.uk.
•Newsfeed was updated for Coral.uk and Ladbrokes.com
•Poker Table optimization was completed for Ladbrokes.com, Coral.uk, Bwin.uk and Partypoker.uk.
•Ladbucks coin arcade was updated for Ladbrokes.com.
•Netflix Teaser has been updated with 'Fishin; Frenzy Roulette Live' on Top Live Casino for Gala
•Eznav optimization has been completed for all labels</t>
  </si>
  <si>
    <t>BRAZIL</t>
  </si>
  <si>
    <t>• Super Button "PlayN'Go, All Slots and Roleta" has been updated on Sportingbet.bet.br
• Home, Exclusive, Video Bingo and Arcade pages optimization has been completed on Sportingbet.bet.br
• Game thumbnail has been updated with "Aviador I" on Sportingbet.bet.br label.</t>
  </si>
  <si>
    <t>CANADA(ROC)</t>
  </si>
  <si>
    <t xml:space="preserve">• Drops &amp; Wins optimization was completed.
• EZnav optimization was completed for Party &amp; SI labels.
</t>
  </si>
  <si>
    <t>CANADA(Ontario)</t>
  </si>
  <si>
    <t xml:space="preserve">
• Drops &amp; Wins optimization was completed.
• EZnav optimization was completed.
</t>
  </si>
  <si>
    <t>GREECE</t>
  </si>
  <si>
    <t>• Bgaming new container has been created and updated with relevant games on casino homepage on Bwin.gr • Bgaming new container has been created and updated with relevant games on casino homepage on Vistabet.gr • Bgaming new container has been created and updated with relevant games on casino homepage on Sportingbet.gr</t>
  </si>
  <si>
    <t>• Embedded midteasers have been updated for Bwin.gr &amp; Sportingbet.gr labels.
•‘Recommended' &amp; ‘SG Recent Success' containers optimization have been completed.
•Provider pages optimization have been completed.
•Drops and Wins container on homepage + Hidden category optimization has been completed
•Eznav weekly optimization has been completed
•Poker Table optimization has been completed
•Exclusive container optimization has been completed</t>
  </si>
  <si>
    <t>SOUTHERN EUROPE</t>
  </si>
  <si>
    <t>• Avanti Hidden page has been created on Spain Labels.
• Jackpots container has been added to Home page on Bwin.co label.
• Synot Highlights and NoLimitCity Highlights new container has been added to New Games page on bwin.pt
• Synot and NoLimitCity hidden pages has been created on bwin.pt
• New Live Casino Games container has been added to LC Home Page on bwin.co.</t>
  </si>
  <si>
    <t>• Home page and Slots page optimization has been completed on bwin.co.
• New Provider - Avanti container position has been moved up in Live casino page on Spain labels.
• Torneio Amusnet Hidden page has been updated on bwin.pt
• Home and New Games page optimization has been completed on bwin.pt</t>
  </si>
  <si>
    <t>AUSTRIA</t>
  </si>
  <si>
    <t xml:space="preserve">•Enabled For You feature under slots page for Bwin.AT &amp; Premium.AT labels.
</t>
  </si>
  <si>
    <t xml:space="preserve">
• Netflix Teaser, New Game Thumbnail &amp; Recommendation section under recently played containers was updated for Bwin.AT
• Home, Exclusive, New, Next Level Gaming page, Drops &amp; Wins and Eznav was done for Bwin.AT.
•Homepage Provider teasers has been rearranged for bwin.AT.
•"World Cup" hidden container has been removed from bwin.AT.
</t>
  </si>
  <si>
    <t>DENMARK</t>
  </si>
  <si>
    <t xml:space="preserve">
• Home, New page, Poker Table and Eznav optimization was updated on Denmark labels.
• Casino 2.0 Migration has been completed for Partypoker.dk
</t>
  </si>
  <si>
    <t>GERMANY</t>
  </si>
  <si>
    <t xml:space="preserve">
• Home page, New page and Eznav was updated on Bwin.de.
•Poker Table optimization is done for Bwin.de and Partypoker.de.
•Added games in bwin.de for internal testing.
•Our Recommendation &amp; New game thumbnails is updated on Bwin.de.
•"World Cup" hidden container has been removed from Bwin.de
</t>
  </si>
  <si>
    <t xml:space="preserve">•Enabled 'Game Swiper' feature under slots page for EU labels.
</t>
  </si>
  <si>
    <t xml:space="preserve">
• New Game Thumbnail &amp; Recommendation section under recently played containers was updated for Bwin.com, Partycasino.com, Partypoker.com and Sportingbet.com.
• Netflix teaser was updated for Bwin.com.
•Poker Table optimization has been completed for Bwin.com and Partypoker.com.
• Removed 5 games from Slider template for bwin.com.
• Home, Exclusive, New, Next Level Gaming page, Drops &amp; Wins and Eznav was done for Bwin.com, Partycasino.com, Partypoker.com and Sportingbet.com
•"Spin Like a World Champion" container has been removed from homepage for EU labels
</t>
  </si>
  <si>
    <t>BELGIUM</t>
  </si>
  <si>
    <t>• Latest Stickers have been updated.
•Drops and Wins container on homepage + Hidden category optimization has been completed.
•Games ordering in Games Global provider page has been completed.
•Poker Table optimization has been completed
•Eznav weekly optimization has been completed
•Top New games &amp; 1x2 gaming containers optimization has been completed for Bwincasino.be label.</t>
  </si>
  <si>
    <t>ITALY</t>
  </si>
  <si>
    <t xml:space="preserve">
• Classifica in Exclusiva 10k container has been created and updated with relevant games on Italy</t>
  </si>
  <si>
    <t>• Latest Stickers have been updated.
•Exclusive, Favourites &amp; Top 10 games containers optimization have been completed.
•Eznav weekly optimization has been completed</t>
  </si>
  <si>
    <t>SOUTH AFRICA</t>
  </si>
  <si>
    <t>•Top New releases on Casino homepage &amp; Fresh from Pragmatic on Slots homepage containers have been created and updated with relevant games on Sportingbet.co.za.</t>
  </si>
  <si>
    <t>• Latest Stickers have been updated.
• New games container optimization has been completed on Casino &amp; Slots homepage.
• Eznav weekly optimization has been completed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</si>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</sst>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rgb="FF002060"/>
      <name val="Mulish"/>
    </font>
    <font>
      <sz val="11"/>
      <color rgb="FF000000"/>
      <name val="Mulish"/>
    </font>
    <font>
      <sz val="11"/>
      <color rgb="FF000000"/>
      <name val="Aptos Narrow"/>
      <family val="2"/>
      <scheme val="minor"/>
    </font>
    <font>
      <sz val="11"/>
      <color theme="1"/>
      <name val="Mulish"/>
    </font>
    <font>
      <sz val="11"/>
      <color rgb="FF002060"/>
      <name val="Mulish"/>
    </font>
    <font>
      <sz val="11"/>
      <color rgb="FFC1D6FF"/>
      <name val="Mulish"/>
    </font>
    <font>
      <sz val="10"/>
      <color theme="1"/>
      <name val="Times New Roman"/>
      <family val="1"/>
    </font>
    <font>
      <sz val="11"/>
      <color rgb="FFFF0000"/>
      <name val="Mulish"/>
    </font>
    <font>
      <b/>
      <sz val="11"/>
      <color rgb="FFC1D6FF"/>
      <name val="Mulish"/>
    </font>
    <font>
      <sz val="11"/>
      <color rgb="FF000000"/>
      <name val="Calibri"/>
      <family val="2"/>
    </font>
    <font>
      <b/>
      <sz val="11"/>
      <color rgb="FF000000"/>
      <name val="Mulish"/>
    </font>
  </fonts>
  <fills count="9">
    <fill>
      <patternFill patternType="none"/>
    </fill>
    <fill>
      <patternFill patternType="gray125"/>
    </fill>
    <fill>
      <patternFill patternType="solid">
        <fgColor rgb="FFDAE9F7"/>
        <bgColor rgb="FF2F5597"/>
      </patternFill>
    </fill>
    <fill>
      <patternFill patternType="solid">
        <fgColor rgb="FFDAE9F7"/>
        <bgColor rgb="FF5B9BD5"/>
      </patternFill>
    </fill>
    <fill>
      <patternFill patternType="solid">
        <fgColor rgb="FFFFFFFF"/>
        <bgColor rgb="FF000000"/>
      </patternFill>
    </fill>
    <fill>
      <patternFill patternType="solid">
        <fgColor rgb="FFE49EDD"/>
        <bgColor rgb="FF000000"/>
      </patternFill>
    </fill>
    <fill>
      <patternFill patternType="solid">
        <fgColor rgb="FFDAE9F7"/>
        <bgColor indexed="64"/>
      </patternFill>
    </fill>
    <fill>
      <patternFill patternType="solid">
        <fgColor rgb="FFFFFF00"/>
        <bgColor indexed="64"/>
      </patternFill>
    </fill>
    <fill>
      <patternFill patternType="solid">
        <fgColor theme="0"/>
        <bgColor indexed="64"/>
      </patternFill>
    </fill>
  </fills>
  <borders count="24">
    <border>
      <left/>
      <right/>
      <top/>
      <bottom/>
      <diagonal/>
    </border>
    <border>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2060"/>
      </left>
      <right/>
      <top style="thin">
        <color rgb="FF002060"/>
      </top>
      <bottom style="thin">
        <color rgb="FF00206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2060"/>
      </right>
      <top style="medium">
        <color rgb="FF000000"/>
      </top>
      <bottom/>
      <diagonal/>
    </border>
    <border>
      <left style="thin">
        <color rgb="FF002060"/>
      </left>
      <right style="medium">
        <color rgb="FF002060"/>
      </right>
      <top style="medium">
        <color rgb="FF000000"/>
      </top>
      <bottom/>
      <diagonal/>
    </border>
    <border>
      <left/>
      <right style="medium">
        <color rgb="FF156082"/>
      </right>
      <top style="medium">
        <color rgb="FF000000"/>
      </top>
      <bottom/>
      <diagonal/>
    </border>
    <border>
      <left/>
      <right style="medium">
        <color rgb="FF000000"/>
      </right>
      <top style="medium">
        <color rgb="FF000000"/>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style="medium">
        <color indexed="64"/>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s>
  <cellStyleXfs count="1">
    <xf numFmtId="0" fontId="0" fillId="0" borderId="0"/>
  </cellStyleXfs>
  <cellXfs count="59">
    <xf numFmtId="0" fontId="0" fillId="0" borderId="0" xfId="0"/>
    <xf numFmtId="0" fontId="1" fillId="2" borderId="4" xfId="0" applyFont="1" applyFill="1" applyBorder="1" applyAlignment="1">
      <alignment horizontal="center" vertical="center"/>
    </xf>
    <xf numFmtId="0" fontId="2" fillId="0" borderId="2" xfId="0" applyFont="1" applyBorder="1" applyAlignment="1">
      <alignment horizontal="left" vertical="center"/>
    </xf>
    <xf numFmtId="0" fontId="2" fillId="0" borderId="1" xfId="0" applyFont="1" applyBorder="1" applyAlignment="1">
      <alignment horizontal="left" vertical="center"/>
    </xf>
    <xf numFmtId="0" fontId="0" fillId="0" borderId="0" xfId="0" applyAlignment="1">
      <alignment horizontal="left"/>
    </xf>
    <xf numFmtId="0" fontId="3" fillId="0" borderId="5" xfId="0" applyFont="1" applyBorder="1" applyAlignment="1">
      <alignment horizontal="center" vertical="center" wrapText="1"/>
    </xf>
    <xf numFmtId="0" fontId="3" fillId="0" borderId="5" xfId="0" applyFont="1" applyBorder="1" applyAlignment="1">
      <alignment vertical="center" wrapText="1"/>
    </xf>
    <xf numFmtId="0" fontId="0" fillId="0" borderId="5" xfId="0" applyBorder="1" applyAlignment="1">
      <alignment horizontal="center"/>
    </xf>
    <xf numFmtId="0" fontId="1" fillId="3" borderId="4" xfId="0" applyFont="1" applyFill="1" applyBorder="1" applyAlignment="1">
      <alignment horizontal="center" vertical="center"/>
    </xf>
    <xf numFmtId="0" fontId="2" fillId="0" borderId="7" xfId="0" applyFont="1" applyBorder="1" applyAlignment="1">
      <alignment horizontal="left" vertical="center"/>
    </xf>
    <xf numFmtId="0" fontId="2" fillId="0" borderId="2" xfId="0" applyFont="1" applyBorder="1" applyAlignment="1">
      <alignment horizontal="center" vertical="center"/>
    </xf>
    <xf numFmtId="0" fontId="1" fillId="2" borderId="6" xfId="0" applyFont="1" applyFill="1" applyBorder="1" applyAlignment="1">
      <alignment horizontal="center" vertical="center"/>
    </xf>
    <xf numFmtId="0" fontId="1" fillId="2" borderId="8" xfId="0" applyFont="1" applyFill="1" applyBorder="1" applyAlignment="1">
      <alignment horizontal="center" vertical="center"/>
    </xf>
    <xf numFmtId="0" fontId="2" fillId="0" borderId="5" xfId="0" applyFont="1" applyBorder="1" applyAlignment="1">
      <alignment horizontal="left" vertical="center"/>
    </xf>
    <xf numFmtId="0" fontId="1" fillId="3" borderId="9" xfId="0" applyFont="1" applyFill="1" applyBorder="1" applyAlignment="1">
      <alignment horizontal="center" vertical="center"/>
    </xf>
    <xf numFmtId="0" fontId="7" fillId="0" borderId="0" xfId="0" applyFont="1"/>
    <xf numFmtId="0" fontId="4" fillId="0" borderId="10" xfId="0" applyFont="1" applyBorder="1" applyAlignment="1">
      <alignment horizontal="left" vertical="center"/>
    </xf>
    <xf numFmtId="0" fontId="4" fillId="7" borderId="10" xfId="0" applyFont="1" applyFill="1" applyBorder="1" applyAlignment="1">
      <alignment horizontal="left" vertical="center"/>
    </xf>
    <xf numFmtId="0" fontId="8" fillId="7" borderId="5" xfId="0" applyFont="1" applyFill="1" applyBorder="1" applyAlignment="1">
      <alignment horizontal="center" vertical="center"/>
    </xf>
    <xf numFmtId="0" fontId="11" fillId="5" borderId="3" xfId="0" applyFont="1" applyFill="1" applyBorder="1" applyAlignment="1">
      <alignment horizontal="center" vertical="center"/>
    </xf>
    <xf numFmtId="0" fontId="11" fillId="5" borderId="3" xfId="0" applyFont="1" applyFill="1" applyBorder="1" applyAlignment="1">
      <alignment vertical="center"/>
    </xf>
    <xf numFmtId="0" fontId="4" fillId="0" borderId="0" xfId="0" applyFont="1"/>
    <xf numFmtId="0" fontId="2" fillId="0" borderId="3"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xf>
    <xf numFmtId="0" fontId="4" fillId="0" borderId="0" xfId="0" applyFont="1" applyAlignment="1">
      <alignment horizontal="center"/>
    </xf>
    <xf numFmtId="0" fontId="4" fillId="0" borderId="0" xfId="0" applyFont="1" applyAlignment="1">
      <alignment horizontal="center" wrapText="1"/>
    </xf>
    <xf numFmtId="0" fontId="10" fillId="4" borderId="3" xfId="0" applyFont="1" applyFill="1" applyBorder="1" applyAlignment="1">
      <alignment vertical="center" wrapText="1"/>
    </xf>
    <xf numFmtId="0" fontId="10" fillId="0" borderId="3" xfId="0" applyFont="1" applyBorder="1" applyAlignment="1">
      <alignment horizontal="center" vertical="center"/>
    </xf>
    <xf numFmtId="0" fontId="4" fillId="0" borderId="3" xfId="0" applyFont="1" applyBorder="1" applyAlignment="1">
      <alignment horizontal="left" vertical="center" wrapText="1"/>
    </xf>
    <xf numFmtId="0" fontId="1" fillId="6" borderId="11" xfId="0" applyFont="1" applyFill="1" applyBorder="1" applyAlignment="1">
      <alignment vertical="center"/>
    </xf>
    <xf numFmtId="0" fontId="1" fillId="6" borderId="12" xfId="0" applyFont="1" applyFill="1" applyBorder="1" applyAlignment="1">
      <alignment vertical="center"/>
    </xf>
    <xf numFmtId="0" fontId="1" fillId="6" borderId="13" xfId="0" applyFont="1" applyFill="1" applyBorder="1" applyAlignment="1">
      <alignment horizontal="center" vertical="center"/>
    </xf>
    <xf numFmtId="0" fontId="1" fillId="6" borderId="14" xfId="0" applyFont="1" applyFill="1" applyBorder="1" applyAlignment="1">
      <alignment horizontal="center" vertical="center"/>
    </xf>
    <xf numFmtId="0" fontId="5" fillId="0" borderId="3" xfId="0" applyFont="1" applyBorder="1" applyAlignment="1">
      <alignment horizontal="center" vertical="center"/>
    </xf>
    <xf numFmtId="0" fontId="6" fillId="0" borderId="3" xfId="0" applyFont="1" applyBorder="1" applyAlignment="1">
      <alignment horizontal="center" vertical="center"/>
    </xf>
    <xf numFmtId="0" fontId="9" fillId="0" borderId="3" xfId="0" applyFont="1" applyBorder="1" applyAlignment="1">
      <alignment horizontal="center" vertical="center"/>
    </xf>
    <xf numFmtId="0" fontId="5" fillId="0" borderId="15" xfId="0" applyFont="1" applyBorder="1" applyAlignment="1">
      <alignment horizontal="center" vertical="center"/>
    </xf>
    <xf numFmtId="0" fontId="6" fillId="0" borderId="15" xfId="0" applyFont="1" applyBorder="1" applyAlignment="1">
      <alignment horizontal="center" vertical="center"/>
    </xf>
    <xf numFmtId="0" fontId="10" fillId="0" borderId="0" xfId="0" applyFont="1" applyAlignment="1">
      <alignment wrapText="1"/>
    </xf>
    <xf numFmtId="0" fontId="2" fillId="0" borderId="16" xfId="0" applyFont="1" applyBorder="1" applyAlignment="1">
      <alignment horizontal="center" vertical="center"/>
    </xf>
    <xf numFmtId="0" fontId="0" fillId="0" borderId="5" xfId="0" applyBorder="1" applyAlignment="1">
      <alignment horizontal="left" vertical="center" wrapText="1"/>
    </xf>
    <xf numFmtId="0" fontId="10" fillId="0" borderId="5" xfId="0" applyFont="1" applyBorder="1" applyAlignment="1">
      <alignment vertical="center" wrapText="1"/>
    </xf>
    <xf numFmtId="0" fontId="3" fillId="0" borderId="5" xfId="0" applyFont="1" applyBorder="1" applyAlignment="1">
      <alignment horizontal="left" vertical="center" wrapText="1"/>
    </xf>
    <xf numFmtId="0" fontId="10" fillId="0" borderId="0" xfId="0" applyFont="1" applyAlignment="1">
      <alignment horizontal="left" vertical="center" wrapText="1"/>
    </xf>
    <xf numFmtId="0" fontId="10" fillId="0" borderId="3" xfId="0" applyFont="1" applyBorder="1" applyAlignment="1">
      <alignment horizontal="left" vertical="center" wrapText="1"/>
    </xf>
    <xf numFmtId="0" fontId="5" fillId="0" borderId="17" xfId="0" applyFont="1" applyBorder="1" applyAlignment="1">
      <alignment horizontal="justify" vertical="center"/>
    </xf>
    <xf numFmtId="0" fontId="5" fillId="0" borderId="18" xfId="0" applyFont="1" applyBorder="1" applyAlignment="1">
      <alignment horizontal="center" vertical="center"/>
    </xf>
    <xf numFmtId="0" fontId="1" fillId="0" borderId="19" xfId="0" applyFont="1" applyBorder="1" applyAlignment="1">
      <alignment horizontal="justify" vertical="center"/>
    </xf>
    <xf numFmtId="0" fontId="5" fillId="0" borderId="20" xfId="0" applyFont="1" applyBorder="1" applyAlignment="1">
      <alignment horizontal="center" vertical="center"/>
    </xf>
    <xf numFmtId="0" fontId="5" fillId="0" borderId="19" xfId="0" applyFont="1" applyBorder="1" applyAlignment="1">
      <alignment horizontal="justify" vertical="center"/>
    </xf>
    <xf numFmtId="0" fontId="5" fillId="0" borderId="19" xfId="0" applyFont="1" applyBorder="1" applyAlignment="1">
      <alignment horizontal="justify" vertical="center" wrapText="1"/>
    </xf>
    <xf numFmtId="0" fontId="5" fillId="0" borderId="19" xfId="0" applyFont="1" applyBorder="1"/>
    <xf numFmtId="0" fontId="5" fillId="0" borderId="21" xfId="0" applyFont="1" applyBorder="1"/>
    <xf numFmtId="0" fontId="5" fillId="0" borderId="22" xfId="0" applyFont="1" applyBorder="1" applyAlignment="1">
      <alignment horizontal="center" vertical="center"/>
    </xf>
    <xf numFmtId="0" fontId="9" fillId="0" borderId="22" xfId="0" applyFont="1" applyBorder="1" applyAlignment="1">
      <alignment horizontal="center" vertical="center"/>
    </xf>
    <xf numFmtId="0" fontId="5" fillId="0" borderId="23" xfId="0" applyFont="1" applyBorder="1" applyAlignment="1">
      <alignment horizontal="center" vertical="center"/>
    </xf>
    <xf numFmtId="0" fontId="4" fillId="8" borderId="10" xfId="0" applyFont="1" applyFill="1" applyBorder="1" applyAlignment="1">
      <alignment horizontal="left" vertical="center"/>
    </xf>
    <xf numFmtId="0" fontId="8" fillId="8"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A969B-C026-4144-B08B-2E5E39303FA9}">
  <dimension ref="A1:R53"/>
  <sheetViews>
    <sheetView tabSelected="1" zoomScale="85" zoomScaleNormal="85" workbookViewId="0">
      <selection activeCell="S16" sqref="S16"/>
    </sheetView>
  </sheetViews>
  <sheetFormatPr defaultRowHeight="15" customHeight="1"/>
  <cols>
    <col min="1" max="1" width="18.42578125" customWidth="1"/>
    <col min="2" max="2" width="17.140625" style="4" bestFit="1" customWidth="1"/>
    <col min="3" max="3" width="17.42578125" bestFit="1" customWidth="1"/>
    <col min="4" max="4" width="22.85546875" bestFit="1" customWidth="1"/>
    <col min="5" max="5" width="13.42578125" customWidth="1"/>
    <col min="6" max="6" width="13.85546875" customWidth="1"/>
    <col min="7" max="7" width="19.5703125" customWidth="1"/>
    <col min="8" max="8" width="6.85546875" bestFit="1" customWidth="1"/>
    <col min="9" max="9" width="18.140625" bestFit="1" customWidth="1"/>
    <col min="10" max="10" width="6.85546875" bestFit="1" customWidth="1"/>
    <col min="11" max="11" width="26.85546875" customWidth="1"/>
    <col min="12" max="12" width="6.85546875" bestFit="1" customWidth="1"/>
    <col min="13" max="13" width="25.5703125" bestFit="1" customWidth="1"/>
    <col min="14" max="14" width="6.85546875" bestFit="1" customWidth="1"/>
    <col min="15" max="15" width="15.5703125" bestFit="1" customWidth="1"/>
    <col min="16" max="16" width="6.85546875" bestFit="1" customWidth="1"/>
  </cols>
  <sheetData>
    <row r="1" spans="1:16" ht="16.5">
      <c r="A1" s="30" t="s">
        <v>0</v>
      </c>
      <c r="B1" s="31" t="s">
        <v>1</v>
      </c>
      <c r="C1" s="32" t="s">
        <v>2</v>
      </c>
      <c r="D1" s="33" t="s">
        <v>3</v>
      </c>
      <c r="G1" s="1" t="s">
        <v>4</v>
      </c>
      <c r="H1" s="8" t="s">
        <v>5</v>
      </c>
      <c r="I1" s="11" t="s">
        <v>6</v>
      </c>
      <c r="J1" s="14" t="s">
        <v>5</v>
      </c>
      <c r="K1" s="12" t="s">
        <v>7</v>
      </c>
      <c r="L1" s="8" t="s">
        <v>5</v>
      </c>
      <c r="M1" s="1" t="s">
        <v>8</v>
      </c>
      <c r="N1" s="8" t="s">
        <v>5</v>
      </c>
      <c r="O1" s="1" t="s">
        <v>9</v>
      </c>
      <c r="P1" s="8" t="s">
        <v>5</v>
      </c>
    </row>
    <row r="2" spans="1:16" ht="16.5">
      <c r="A2" s="46" t="s">
        <v>4</v>
      </c>
      <c r="B2" s="37">
        <v>18</v>
      </c>
      <c r="C2" s="38">
        <v>0</v>
      </c>
      <c r="D2" s="47">
        <v>18</v>
      </c>
      <c r="G2" s="2" t="s">
        <v>10</v>
      </c>
      <c r="H2" s="2">
        <v>36</v>
      </c>
      <c r="I2" s="9" t="s">
        <v>11</v>
      </c>
      <c r="J2" s="13">
        <v>9</v>
      </c>
      <c r="K2" s="3" t="s">
        <v>12</v>
      </c>
      <c r="L2" s="10">
        <v>7</v>
      </c>
      <c r="M2" s="16" t="s">
        <v>13</v>
      </c>
      <c r="N2" s="7">
        <v>36</v>
      </c>
      <c r="O2" s="3" t="s">
        <v>14</v>
      </c>
      <c r="P2" s="2">
        <v>12</v>
      </c>
    </row>
    <row r="3" spans="1:16" ht="16.5">
      <c r="A3" s="48" t="s">
        <v>15</v>
      </c>
      <c r="B3" s="34">
        <v>30</v>
      </c>
      <c r="C3" s="35">
        <v>0</v>
      </c>
      <c r="D3" s="49">
        <f t="shared" ref="D3:D12" si="0">SUM(B3:C3)</f>
        <v>30</v>
      </c>
      <c r="G3" s="2" t="s">
        <v>16</v>
      </c>
      <c r="H3" s="2">
        <v>36</v>
      </c>
      <c r="I3" s="9" t="s">
        <v>17</v>
      </c>
      <c r="J3" s="13">
        <v>6</v>
      </c>
      <c r="K3" s="3" t="s">
        <v>18</v>
      </c>
      <c r="L3" s="10">
        <v>6</v>
      </c>
      <c r="M3" s="16" t="s">
        <v>19</v>
      </c>
      <c r="N3" s="7">
        <v>4</v>
      </c>
      <c r="O3" s="3" t="s">
        <v>20</v>
      </c>
      <c r="P3" s="2" t="s">
        <v>21</v>
      </c>
    </row>
    <row r="4" spans="1:16" ht="16.5">
      <c r="A4" s="48" t="s">
        <v>22</v>
      </c>
      <c r="B4" s="34">
        <v>27</v>
      </c>
      <c r="C4" s="35">
        <v>0</v>
      </c>
      <c r="D4" s="49">
        <f t="shared" si="0"/>
        <v>27</v>
      </c>
      <c r="G4" s="2" t="s">
        <v>23</v>
      </c>
      <c r="H4" s="2">
        <v>9</v>
      </c>
      <c r="I4" s="9" t="s">
        <v>24</v>
      </c>
      <c r="J4" s="13">
        <v>11</v>
      </c>
      <c r="K4" s="3" t="s">
        <v>25</v>
      </c>
      <c r="L4" s="10">
        <v>6</v>
      </c>
      <c r="M4" s="16" t="s">
        <v>26</v>
      </c>
      <c r="N4" s="7">
        <v>25</v>
      </c>
      <c r="O4" s="3" t="s">
        <v>27</v>
      </c>
      <c r="P4" s="2">
        <v>8</v>
      </c>
    </row>
    <row r="5" spans="1:16" ht="16.5">
      <c r="A5" s="48" t="s">
        <v>28</v>
      </c>
      <c r="B5" s="34">
        <v>11</v>
      </c>
      <c r="C5" s="36">
        <v>0</v>
      </c>
      <c r="D5" s="49">
        <f t="shared" si="0"/>
        <v>11</v>
      </c>
      <c r="G5" s="2" t="s">
        <v>29</v>
      </c>
      <c r="H5" s="2">
        <v>7</v>
      </c>
      <c r="I5" s="9" t="s">
        <v>30</v>
      </c>
      <c r="J5" s="13">
        <v>9</v>
      </c>
      <c r="K5" s="3" t="s">
        <v>31</v>
      </c>
      <c r="L5" s="10">
        <v>6</v>
      </c>
      <c r="M5" s="16" t="s">
        <v>32</v>
      </c>
      <c r="N5" s="7">
        <v>26</v>
      </c>
      <c r="O5" s="3" t="s">
        <v>33</v>
      </c>
      <c r="P5" s="2">
        <v>8</v>
      </c>
    </row>
    <row r="6" spans="1:16" ht="16.5">
      <c r="A6" s="50" t="s">
        <v>34</v>
      </c>
      <c r="B6" s="34">
        <v>0</v>
      </c>
      <c r="C6" s="36">
        <v>0</v>
      </c>
      <c r="D6" s="49">
        <f t="shared" si="0"/>
        <v>0</v>
      </c>
      <c r="G6" s="2" t="s">
        <v>35</v>
      </c>
      <c r="H6" s="2">
        <v>5</v>
      </c>
      <c r="I6" s="9" t="s">
        <v>36</v>
      </c>
      <c r="J6" s="13">
        <v>9</v>
      </c>
      <c r="K6" s="3" t="s">
        <v>37</v>
      </c>
      <c r="L6" s="10">
        <v>7</v>
      </c>
      <c r="M6" s="16" t="s">
        <v>38</v>
      </c>
      <c r="N6" s="7">
        <v>25</v>
      </c>
      <c r="O6" s="3" t="s">
        <v>39</v>
      </c>
      <c r="P6" s="2">
        <v>12</v>
      </c>
    </row>
    <row r="7" spans="1:16" ht="16.5">
      <c r="A7" s="50" t="s">
        <v>40</v>
      </c>
      <c r="B7" s="34">
        <v>21</v>
      </c>
      <c r="C7" s="36">
        <v>0</v>
      </c>
      <c r="D7" s="49">
        <v>21</v>
      </c>
      <c r="G7" s="2" t="s">
        <v>41</v>
      </c>
      <c r="H7" s="2">
        <v>20</v>
      </c>
      <c r="I7" s="9" t="s">
        <v>42</v>
      </c>
      <c r="J7" s="13">
        <v>9</v>
      </c>
      <c r="K7" s="3" t="s">
        <v>43</v>
      </c>
      <c r="L7" s="10">
        <v>7</v>
      </c>
      <c r="M7" s="17" t="s">
        <v>44</v>
      </c>
      <c r="N7" s="18">
        <v>0</v>
      </c>
      <c r="P7">
        <f>SUM(P2:P6)</f>
        <v>40</v>
      </c>
    </row>
    <row r="8" spans="1:16" ht="16.5">
      <c r="A8" s="50" t="s">
        <v>45</v>
      </c>
      <c r="B8" s="34">
        <v>11</v>
      </c>
      <c r="C8" s="36">
        <v>0</v>
      </c>
      <c r="D8" s="49">
        <v>11</v>
      </c>
      <c r="G8" s="2" t="s">
        <v>46</v>
      </c>
      <c r="H8" s="2">
        <v>21</v>
      </c>
      <c r="I8" s="9" t="s">
        <v>47</v>
      </c>
      <c r="J8" s="13">
        <v>8</v>
      </c>
      <c r="L8">
        <f>SUM(L2:L7)</f>
        <v>39</v>
      </c>
      <c r="M8" s="17" t="s">
        <v>48</v>
      </c>
      <c r="N8" s="18">
        <v>0</v>
      </c>
    </row>
    <row r="9" spans="1:16" ht="16.5">
      <c r="A9" s="50" t="s">
        <v>49</v>
      </c>
      <c r="B9" s="34">
        <v>19</v>
      </c>
      <c r="C9" s="36">
        <v>0</v>
      </c>
      <c r="D9" s="49">
        <v>19</v>
      </c>
      <c r="G9" s="2" t="s">
        <v>50</v>
      </c>
      <c r="H9" s="2">
        <v>8</v>
      </c>
      <c r="I9" s="9" t="s">
        <v>51</v>
      </c>
      <c r="J9" s="13">
        <v>9</v>
      </c>
      <c r="M9" s="57" t="s">
        <v>52</v>
      </c>
      <c r="N9" s="58">
        <v>1</v>
      </c>
    </row>
    <row r="10" spans="1:16" ht="16.5">
      <c r="A10" s="50" t="s">
        <v>53</v>
      </c>
      <c r="B10" s="34">
        <v>15</v>
      </c>
      <c r="C10" s="36">
        <v>0</v>
      </c>
      <c r="D10" s="49">
        <v>15</v>
      </c>
      <c r="G10" s="2" t="s">
        <v>54</v>
      </c>
      <c r="H10" s="2">
        <v>13</v>
      </c>
      <c r="I10" s="9" t="s">
        <v>55</v>
      </c>
      <c r="J10" s="13">
        <v>7</v>
      </c>
      <c r="M10" s="17" t="s">
        <v>56</v>
      </c>
      <c r="N10" s="18">
        <v>0</v>
      </c>
    </row>
    <row r="11" spans="1:16" ht="16.5">
      <c r="A11" s="50" t="s">
        <v>57</v>
      </c>
      <c r="B11" s="34">
        <v>10</v>
      </c>
      <c r="C11" s="35">
        <v>0</v>
      </c>
      <c r="D11" s="49">
        <f t="shared" si="0"/>
        <v>10</v>
      </c>
      <c r="G11" s="2" t="s">
        <v>58</v>
      </c>
      <c r="H11" s="2">
        <v>9</v>
      </c>
      <c r="J11">
        <f>SUM(J2:J10)</f>
        <v>77</v>
      </c>
      <c r="M11" s="16" t="s">
        <v>59</v>
      </c>
      <c r="N11" s="7">
        <v>9</v>
      </c>
    </row>
    <row r="12" spans="1:16" ht="16.5">
      <c r="A12" s="50" t="s">
        <v>60</v>
      </c>
      <c r="B12" s="34">
        <v>16</v>
      </c>
      <c r="C12" s="35">
        <v>0</v>
      </c>
      <c r="D12" s="49">
        <f t="shared" si="0"/>
        <v>16</v>
      </c>
      <c r="H12">
        <f>SUM(H2:H11)</f>
        <v>164</v>
      </c>
      <c r="M12" s="16" t="s">
        <v>61</v>
      </c>
      <c r="N12" s="7">
        <v>12</v>
      </c>
    </row>
    <row r="13" spans="1:16" ht="16.5">
      <c r="A13" s="50" t="s">
        <v>62</v>
      </c>
      <c r="B13" s="34">
        <v>22</v>
      </c>
      <c r="C13" s="35">
        <v>0</v>
      </c>
      <c r="D13" s="49">
        <v>22</v>
      </c>
      <c r="M13" s="16" t="s">
        <v>63</v>
      </c>
      <c r="N13" s="7">
        <v>14</v>
      </c>
    </row>
    <row r="14" spans="1:16" ht="16.5">
      <c r="A14" s="50" t="s">
        <v>64</v>
      </c>
      <c r="B14" s="34">
        <v>16</v>
      </c>
      <c r="C14" s="35">
        <v>0</v>
      </c>
      <c r="D14" s="49">
        <v>16</v>
      </c>
      <c r="M14" s="16" t="s">
        <v>65</v>
      </c>
      <c r="N14" s="7">
        <v>35</v>
      </c>
    </row>
    <row r="15" spans="1:16" ht="16.5">
      <c r="A15" s="50" t="s">
        <v>66</v>
      </c>
      <c r="B15" s="34">
        <v>17</v>
      </c>
      <c r="C15" s="35">
        <v>0</v>
      </c>
      <c r="D15" s="49">
        <v>17</v>
      </c>
      <c r="M15" s="16" t="s">
        <v>67</v>
      </c>
      <c r="N15" s="7">
        <v>3</v>
      </c>
    </row>
    <row r="16" spans="1:16" ht="16.5">
      <c r="A16" s="50" t="s">
        <v>68</v>
      </c>
      <c r="B16" s="34">
        <v>7</v>
      </c>
      <c r="C16" s="36">
        <v>0</v>
      </c>
      <c r="D16" s="49">
        <f>SUM(B16:C16)</f>
        <v>7</v>
      </c>
      <c r="N16">
        <f>SUM(N2:N15)</f>
        <v>190</v>
      </c>
    </row>
    <row r="17" spans="1:18" ht="16.5">
      <c r="A17" s="51" t="s">
        <v>69</v>
      </c>
      <c r="B17" s="34">
        <v>24</v>
      </c>
      <c r="C17" s="36">
        <v>0</v>
      </c>
      <c r="D17" s="49">
        <v>24</v>
      </c>
    </row>
    <row r="18" spans="1:18" ht="16.5">
      <c r="A18" s="52" t="s">
        <v>70</v>
      </c>
      <c r="B18" s="34">
        <v>39</v>
      </c>
      <c r="C18" s="36">
        <v>0</v>
      </c>
      <c r="D18" s="49">
        <f>SUM(B18:C18)</f>
        <v>39</v>
      </c>
    </row>
    <row r="19" spans="1:18" ht="15" customHeight="1" thickBot="1">
      <c r="A19" s="53" t="s">
        <v>71</v>
      </c>
      <c r="B19" s="54">
        <v>39</v>
      </c>
      <c r="C19" s="55">
        <v>0</v>
      </c>
      <c r="D19" s="56">
        <f>SUM(B19:C19)</f>
        <v>39</v>
      </c>
    </row>
    <row r="21" spans="1:18" ht="14.45"/>
    <row r="22" spans="1:18" ht="14.45"/>
    <row r="23" spans="1:18" ht="14.45"/>
    <row r="24" spans="1:18" ht="14.45"/>
    <row r="25" spans="1:18" ht="14.45"/>
    <row r="26" spans="1:18" ht="14.45"/>
    <row r="27" spans="1:18" ht="14.45"/>
    <row r="28" spans="1:18" ht="14.45">
      <c r="Q28" s="15"/>
      <c r="R28" s="15"/>
    </row>
    <row r="29" spans="1:18" ht="14.45">
      <c r="Q29" s="15"/>
      <c r="R29" s="15"/>
    </row>
    <row r="30" spans="1:18" ht="14.45">
      <c r="Q30" s="15"/>
      <c r="R30" s="15"/>
    </row>
    <row r="31" spans="1:18" ht="14.45"/>
    <row r="32" spans="1:18" ht="14.45"/>
    <row r="33" ht="14.45"/>
    <row r="34" ht="14.45"/>
    <row r="35" ht="14.45"/>
    <row r="36" ht="14.45"/>
    <row r="37" ht="14.45"/>
    <row r="38" ht="14.45"/>
    <row r="39" ht="14.45"/>
    <row r="40" ht="14.45"/>
    <row r="41" ht="14.45"/>
    <row r="42" ht="14.45"/>
    <row r="43" ht="14.45"/>
    <row r="44" ht="14.45"/>
    <row r="45" ht="14.45"/>
    <row r="46" ht="14.45"/>
    <row r="47" ht="14.45"/>
    <row r="48" ht="14.45"/>
    <row r="49" ht="14.45"/>
    <row r="50" ht="14.45"/>
    <row r="51" ht="14.45"/>
    <row r="52" ht="14.45"/>
    <row r="53" 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F0D39-4934-453F-BE9A-FC387719A629}">
  <dimension ref="A1:D26"/>
  <sheetViews>
    <sheetView zoomScaleNormal="100" workbookViewId="0">
      <pane ySplit="1" topLeftCell="A9" activePane="bottomLeft" state="frozen"/>
      <selection pane="bottomLeft" activeCell="D16" sqref="D16"/>
    </sheetView>
  </sheetViews>
  <sheetFormatPr defaultColWidth="32" defaultRowHeight="16.5"/>
  <cols>
    <col min="1" max="1" width="21.7109375" style="25" bestFit="1" customWidth="1"/>
    <col min="2" max="2" width="35.7109375" style="25" bestFit="1" customWidth="1"/>
    <col min="3" max="3" width="78.140625" style="25" bestFit="1" customWidth="1"/>
    <col min="4" max="4" width="136.7109375" style="21" bestFit="1" customWidth="1"/>
    <col min="5" max="16384" width="32" style="21"/>
  </cols>
  <sheetData>
    <row r="1" spans="1:4">
      <c r="A1" s="19" t="s">
        <v>72</v>
      </c>
      <c r="B1" s="19" t="s">
        <v>73</v>
      </c>
      <c r="C1" s="19" t="s">
        <v>74</v>
      </c>
      <c r="D1" s="20" t="s">
        <v>75</v>
      </c>
    </row>
    <row r="2" spans="1:4" ht="205.5" customHeight="1">
      <c r="A2" s="28" t="s">
        <v>4</v>
      </c>
      <c r="B2" s="28" t="s">
        <v>21</v>
      </c>
      <c r="C2" s="44" t="s">
        <v>76</v>
      </c>
      <c r="D2" s="27" t="s">
        <v>77</v>
      </c>
    </row>
    <row r="3" spans="1:4" ht="44.45">
      <c r="A3" s="22" t="s">
        <v>78</v>
      </c>
      <c r="B3" s="22"/>
      <c r="C3" s="22" t="s">
        <v>21</v>
      </c>
      <c r="D3" s="39" t="s">
        <v>79</v>
      </c>
    </row>
    <row r="4" spans="1:4" ht="49.5">
      <c r="A4" s="22" t="s">
        <v>80</v>
      </c>
      <c r="B4" s="22" t="s">
        <v>21</v>
      </c>
      <c r="C4" s="22" t="s">
        <v>21</v>
      </c>
      <c r="D4" s="29" t="s">
        <v>81</v>
      </c>
    </row>
    <row r="5" spans="1:4" ht="66">
      <c r="A5" s="22" t="s">
        <v>82</v>
      </c>
      <c r="B5" s="22" t="s">
        <v>21</v>
      </c>
      <c r="C5" s="22" t="s">
        <v>21</v>
      </c>
      <c r="D5" s="29" t="s">
        <v>83</v>
      </c>
    </row>
    <row r="6" spans="1:4" ht="101.45">
      <c r="A6" s="22" t="s">
        <v>84</v>
      </c>
      <c r="B6" s="5" t="s">
        <v>21</v>
      </c>
      <c r="C6" s="42" t="s">
        <v>85</v>
      </c>
      <c r="D6" s="45" t="s">
        <v>86</v>
      </c>
    </row>
    <row r="7" spans="1:4" ht="87">
      <c r="A7" s="22" t="s">
        <v>87</v>
      </c>
      <c r="B7" s="40" t="s">
        <v>21</v>
      </c>
      <c r="C7" s="42" t="s">
        <v>88</v>
      </c>
      <c r="D7" s="39" t="s">
        <v>89</v>
      </c>
    </row>
    <row r="8" spans="1:4" ht="87">
      <c r="A8" s="5" t="s">
        <v>90</v>
      </c>
      <c r="B8" s="5" t="s">
        <v>91</v>
      </c>
      <c r="C8" s="5" t="s">
        <v>21</v>
      </c>
      <c r="D8" s="41" t="s">
        <v>92</v>
      </c>
    </row>
    <row r="9" spans="1:4" ht="57.95">
      <c r="A9" s="5" t="s">
        <v>93</v>
      </c>
      <c r="B9" s="5" t="s">
        <v>21</v>
      </c>
      <c r="C9" s="5" t="s">
        <v>21</v>
      </c>
      <c r="D9" s="6" t="s">
        <v>94</v>
      </c>
    </row>
    <row r="10" spans="1:4" ht="101.45">
      <c r="A10" s="5" t="s">
        <v>95</v>
      </c>
      <c r="B10" s="5" t="s">
        <v>21</v>
      </c>
      <c r="C10" s="5" t="s">
        <v>21</v>
      </c>
      <c r="D10" s="6" t="s">
        <v>96</v>
      </c>
    </row>
    <row r="11" spans="1:4" ht="130.5">
      <c r="A11" s="5" t="s">
        <v>15</v>
      </c>
      <c r="B11" s="5" t="s">
        <v>97</v>
      </c>
      <c r="C11" s="5" t="s">
        <v>21</v>
      </c>
      <c r="D11" s="41" t="s">
        <v>98</v>
      </c>
    </row>
    <row r="12" spans="1:4" ht="101.25">
      <c r="A12" s="22" t="s">
        <v>99</v>
      </c>
      <c r="B12" s="5" t="s">
        <v>21</v>
      </c>
      <c r="C12" s="5" t="s">
        <v>21</v>
      </c>
      <c r="D12" s="6" t="s">
        <v>100</v>
      </c>
    </row>
    <row r="13" spans="1:4" ht="43.5">
      <c r="A13" s="23" t="s">
        <v>101</v>
      </c>
      <c r="B13" s="5" t="s">
        <v>21</v>
      </c>
      <c r="C13" s="43" t="s">
        <v>102</v>
      </c>
      <c r="D13" s="6" t="s">
        <v>103</v>
      </c>
    </row>
    <row r="14" spans="1:4" ht="43.5">
      <c r="A14" s="24" t="s">
        <v>104</v>
      </c>
      <c r="B14" s="5" t="s">
        <v>21</v>
      </c>
      <c r="C14" s="43" t="s">
        <v>105</v>
      </c>
      <c r="D14" s="43" t="s">
        <v>106</v>
      </c>
    </row>
    <row r="16" spans="1:4" ht="33">
      <c r="C16" s="26" t="s">
        <v>107</v>
      </c>
    </row>
    <row r="26" spans="4:4">
      <c r="D26" s="25"/>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Palaparthi Revathi</dc:creator>
  <cp:keywords/>
  <dc:description/>
  <cp:lastModifiedBy>Moneesh Julakanti</cp:lastModifiedBy>
  <cp:revision/>
  <dcterms:created xsi:type="dcterms:W3CDTF">2026-04-29T07:58:57Z</dcterms:created>
  <dcterms:modified xsi:type="dcterms:W3CDTF">2026-07-27T11:07:45Z</dcterms:modified>
  <cp:category/>
  <cp:contentStatus/>
</cp:coreProperties>
</file>